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피아노" sheetId="2" state="visible" r:id="rId2"/>
    <sheet xmlns:r="http://schemas.openxmlformats.org/officeDocument/2006/relationships" name="기타" sheetId="3" state="visible" r:id="rId3"/>
    <sheet xmlns:r="http://schemas.openxmlformats.org/officeDocument/2006/relationships" name="베이스" sheetId="4" state="visible" r:id="rId4"/>
    <sheet xmlns:r="http://schemas.openxmlformats.org/officeDocument/2006/relationships" name="드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i val="1"/>
      <color rgb="00595959"/>
      <sz val="9"/>
    </font>
    <font>
      <name val="Arial"/>
      <i val="1"/>
      <color rgb="007F7F7F"/>
    </font>
    <font>
      <name val="Arial"/>
      <b val="1"/>
      <sz val="13"/>
    </font>
    <font>
      <name val="Arial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0" fillId="0" borderId="1" pivotButton="0" quotePrefix="0" xfId="0"/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2" fillId="3" borderId="1" pivotButton="0" quotePrefix="0" xfId="0"/>
    <xf numFmtId="2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  <xf numFmtId="0" fontId="3" fillId="0" borderId="0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MIDI-GPT 생성 평가 — 악기별 평균 (BabySlakh 20곡)</t>
        </is>
      </c>
    </row>
    <row r="3" ht="32" customHeight="1">
      <c r="A3" s="2" t="inlineStr">
        <is>
          <t>악기</t>
        </is>
      </c>
      <c r="B3" s="2" t="inlineStr">
        <is>
          <t>곡 수</t>
        </is>
      </c>
      <c r="C3" s="2" t="inlineStr">
        <is>
          <t>CP ↑</t>
        </is>
      </c>
      <c r="D3" s="2" t="inlineStr">
        <is>
          <t>CP활성 ↑</t>
        </is>
      </c>
      <c r="E3" s="2" t="inlineStr">
        <is>
          <t>PCHE차이 ↓</t>
        </is>
      </c>
      <c r="F3" s="2" t="inlineStr">
        <is>
          <t>PCH유사 ↑</t>
        </is>
      </c>
      <c r="G3" s="2" t="inlineStr">
        <is>
          <t>GS차이 ↓</t>
        </is>
      </c>
      <c r="H3" s="2" t="inlineStr">
        <is>
          <t>GS일치 ↑</t>
        </is>
      </c>
      <c r="I3" s="2" t="inlineStr">
        <is>
          <t>마디당 음 (원)</t>
        </is>
      </c>
      <c r="J3" s="2" t="inlineStr">
        <is>
          <t>마디당 음 (생)</t>
        </is>
      </c>
      <c r="K3" s="2" t="inlineStr">
        <is>
          <t>빈 마디 (원)</t>
        </is>
      </c>
      <c r="L3" s="2" t="inlineStr">
        <is>
          <t>빈 마디 (생)</t>
        </is>
      </c>
    </row>
    <row r="4">
      <c r="A4" s="3" t="inlineStr">
        <is>
          <t>피아노</t>
        </is>
      </c>
      <c r="B4" s="4">
        <f>COUNT('피아노'!B2:B21)</f>
        <v/>
      </c>
      <c r="C4" s="5">
        <f>'피아노'!B22</f>
        <v/>
      </c>
      <c r="D4" s="5">
        <f>'피아노'!C22</f>
        <v/>
      </c>
      <c r="E4" s="5">
        <f>'피아노'!D22</f>
        <v/>
      </c>
      <c r="F4" s="5">
        <f>'피아노'!E22</f>
        <v/>
      </c>
      <c r="G4" s="5">
        <f>'피아노'!F22</f>
        <v/>
      </c>
      <c r="H4" s="5">
        <f>'피아노'!G22</f>
        <v/>
      </c>
      <c r="I4" s="6">
        <f>'피아노'!H22</f>
        <v/>
      </c>
      <c r="J4" s="6">
        <f>'피아노'!I22</f>
        <v/>
      </c>
      <c r="K4" s="7">
        <f>'피아노'!J22</f>
        <v/>
      </c>
      <c r="L4" s="7">
        <f>'피아노'!K22</f>
        <v/>
      </c>
    </row>
    <row r="5">
      <c r="A5" s="3" t="inlineStr">
        <is>
          <t>기타</t>
        </is>
      </c>
      <c r="B5" s="4">
        <f>COUNT('기타'!B2:B21)</f>
        <v/>
      </c>
      <c r="C5" s="5">
        <f>'기타'!B22</f>
        <v/>
      </c>
      <c r="D5" s="5">
        <f>'기타'!C22</f>
        <v/>
      </c>
      <c r="E5" s="5">
        <f>'기타'!D22</f>
        <v/>
      </c>
      <c r="F5" s="5">
        <f>'기타'!E22</f>
        <v/>
      </c>
      <c r="G5" s="5">
        <f>'기타'!F22</f>
        <v/>
      </c>
      <c r="H5" s="5">
        <f>'기타'!G22</f>
        <v/>
      </c>
      <c r="I5" s="6">
        <f>'기타'!H22</f>
        <v/>
      </c>
      <c r="J5" s="6">
        <f>'기타'!I22</f>
        <v/>
      </c>
      <c r="K5" s="7">
        <f>'기타'!J22</f>
        <v/>
      </c>
      <c r="L5" s="7">
        <f>'기타'!K22</f>
        <v/>
      </c>
    </row>
    <row r="6">
      <c r="A6" s="3" t="inlineStr">
        <is>
          <t>베이스</t>
        </is>
      </c>
      <c r="B6" s="4">
        <f>COUNT('베이스'!B2:B21)</f>
        <v/>
      </c>
      <c r="C6" s="5">
        <f>'베이스'!B22</f>
        <v/>
      </c>
      <c r="D6" s="5">
        <f>'베이스'!C22</f>
        <v/>
      </c>
      <c r="E6" s="5">
        <f>'베이스'!D22</f>
        <v/>
      </c>
      <c r="F6" s="5">
        <f>'베이스'!E22</f>
        <v/>
      </c>
      <c r="G6" s="5">
        <f>'베이스'!F22</f>
        <v/>
      </c>
      <c r="H6" s="5">
        <f>'베이스'!G22</f>
        <v/>
      </c>
      <c r="I6" s="6">
        <f>'베이스'!H22</f>
        <v/>
      </c>
      <c r="J6" s="6">
        <f>'베이스'!I22</f>
        <v/>
      </c>
      <c r="K6" s="7">
        <f>'베이스'!J22</f>
        <v/>
      </c>
      <c r="L6" s="7">
        <f>'베이스'!K22</f>
        <v/>
      </c>
    </row>
    <row r="7">
      <c r="A7" s="3" t="inlineStr">
        <is>
          <t>드럼</t>
        </is>
      </c>
      <c r="B7" s="4">
        <f>COUNT('드럼'!B2:B21)</f>
        <v/>
      </c>
      <c r="C7" s="5" t="inlineStr">
        <is>
          <t>–</t>
        </is>
      </c>
      <c r="D7" s="5" t="inlineStr">
        <is>
          <t>–</t>
        </is>
      </c>
      <c r="E7" s="5" t="inlineStr">
        <is>
          <t>–</t>
        </is>
      </c>
      <c r="F7" s="5" t="inlineStr">
        <is>
          <t>–</t>
        </is>
      </c>
      <c r="G7" s="5">
        <f>'드럼'!B22</f>
        <v/>
      </c>
      <c r="H7" s="5">
        <f>'드럼'!C22</f>
        <v/>
      </c>
      <c r="I7" s="6">
        <f>'드럼'!E22</f>
        <v/>
      </c>
      <c r="J7" s="6">
        <f>'드럼'!F22</f>
        <v/>
      </c>
      <c r="K7" s="7">
        <f>'드럼'!G22</f>
        <v/>
      </c>
      <c r="L7" s="7">
        <f>'드럼'!H22</f>
        <v/>
      </c>
    </row>
    <row r="10">
      <c r="A10" s="8" t="inlineStr">
        <is>
          <t>읽는 법</t>
        </is>
      </c>
    </row>
    <row r="11">
      <c r="A11" s="9" t="inlineStr">
        <is>
          <t>· CP: 코드(화성) 일치도, MIDI-RWKV 정의. CP활성: 원래 파트가 소리 나는 구간에서만 계산</t>
        </is>
      </c>
    </row>
    <row r="12">
      <c r="A12" s="9" t="inlineStr">
        <is>
          <t>· PCHE차이: 음이름 분포 엔트로피(조성감) 차이. PCH유사: 음이름 분포 코사인 유사도</t>
        </is>
      </c>
    </row>
    <row r="13">
      <c r="A13" s="9" t="inlineStr">
        <is>
          <t>· GS차이: 리듬 일관성(Groove Consistency) 차이. GS일치: 같은 마디의 음 시작 위치 일치도</t>
        </is>
      </c>
    </row>
    <row r="14">
      <c r="A14" s="9" t="inlineStr">
        <is>
          <t>· F1·Jaccard는 원곡 복원도라 생성 모델에는 참고용 (낮아도 정상, 베끼지 않았다는 뜻)</t>
        </is>
      </c>
    </row>
    <row r="15">
      <c r="A15" s="9" t="inlineStr">
        <is>
          <t>· 드럼은 음 높이가 타악기 종류라 CP·PCHE·PCH 계산 안 함</t>
        </is>
      </c>
    </row>
    <row r="16">
      <c r="A16" s="9" t="inlineStr">
        <is>
          <t>· 원래 파트 빈 마디가 많은 곡은 CP가 낮게 나옴 → CP활성 기준으로 해석</t>
        </is>
      </c>
    </row>
    <row r="17">
      <c r="A17" s="9" t="inlineStr">
        <is>
          <t>· 생성 쪽 빈 마디는 GS를 부풀리고 CP를 낮춤 (긴 곡·트랙 많을 때 토큰 한계 영향)</t>
        </is>
      </c>
    </row>
    <row r="18">
      <c r="A18" s="9" t="inlineStr">
        <is>
          <t>· 빈칸: 베이스 Track00017(원곡에 베이스 없음), 드럼 Track00008(생성 실패)</t>
        </is>
      </c>
    </row>
    <row r="19">
      <c r="A19" s="9" t="inlineStr">
        <is>
          <t>· 네 악기 고르게 괜찮은 곡: Track00001, 00008, 00010, 00011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2" t="inlineStr">
        <is>
          <t>곡</t>
        </is>
      </c>
      <c r="B1" s="2" t="inlineStr">
        <is>
          <t>CP ↑</t>
        </is>
      </c>
      <c r="C1" s="2" t="inlineStr">
        <is>
          <t>CP활성 ↑</t>
        </is>
      </c>
      <c r="D1" s="2" t="inlineStr">
        <is>
          <t>PCHE차이 ↓</t>
        </is>
      </c>
      <c r="E1" s="2" t="inlineStr">
        <is>
          <t>PCH유사 ↑</t>
        </is>
      </c>
      <c r="F1" s="2" t="inlineStr">
        <is>
          <t>GS차이 ↓</t>
        </is>
      </c>
      <c r="G1" s="2" t="inlineStr">
        <is>
          <t>GS일치 ↑</t>
        </is>
      </c>
      <c r="H1" s="2" t="inlineStr">
        <is>
          <t>마디당 음 (원)</t>
        </is>
      </c>
      <c r="I1" s="2" t="inlineStr">
        <is>
          <t>마디당 음 (생)</t>
        </is>
      </c>
      <c r="J1" s="2" t="inlineStr">
        <is>
          <t>빈 마디 (원)</t>
        </is>
      </c>
      <c r="K1" s="2" t="inlineStr">
        <is>
          <t>빈 마디 (생)</t>
        </is>
      </c>
    </row>
    <row r="2">
      <c r="A2" s="10" t="inlineStr">
        <is>
          <t>Track00001</t>
        </is>
      </c>
      <c r="B2" s="11" t="n">
        <v>0.3171</v>
      </c>
      <c r="C2" s="11" t="n">
        <v>0.3596</v>
      </c>
      <c r="D2" s="11" t="n">
        <v>0.4273</v>
      </c>
      <c r="E2" s="11" t="n">
        <v>0.7093</v>
      </c>
      <c r="F2" s="11" t="n">
        <v>0.0716</v>
      </c>
      <c r="G2" s="11" t="n">
        <v>0.8948</v>
      </c>
      <c r="H2" s="12" t="n">
        <v>5.0759</v>
      </c>
      <c r="I2" s="12" t="n">
        <v>4.8354</v>
      </c>
      <c r="J2" s="13" t="n">
        <v>4</v>
      </c>
      <c r="K2" s="13" t="n">
        <v>14</v>
      </c>
    </row>
    <row r="3">
      <c r="A3" s="10" t="inlineStr">
        <is>
          <t>Track00002</t>
        </is>
      </c>
      <c r="B3" s="11" t="n">
        <v>0.0527</v>
      </c>
      <c r="C3" s="11" t="n">
        <v>0.1143</v>
      </c>
      <c r="D3" s="11" t="n">
        <v>1.9107</v>
      </c>
      <c r="E3" s="11" t="n">
        <v>0.2937</v>
      </c>
      <c r="F3" s="11" t="n">
        <v>0.0228</v>
      </c>
      <c r="G3" s="11" t="n">
        <v>0.9127</v>
      </c>
      <c r="H3" s="12" t="n">
        <v>5.163</v>
      </c>
      <c r="I3" s="12" t="n">
        <v>2.0978</v>
      </c>
      <c r="J3" s="13" t="n">
        <v>28</v>
      </c>
      <c r="K3" s="13" t="n">
        <v>0</v>
      </c>
    </row>
    <row r="4">
      <c r="A4" s="10" t="inlineStr">
        <is>
          <t>Track00003</t>
        </is>
      </c>
      <c r="B4" s="11" t="n">
        <v>0.1992</v>
      </c>
      <c r="C4" s="11" t="n">
        <v>0.2113</v>
      </c>
      <c r="D4" s="11" t="n">
        <v>0.1904</v>
      </c>
      <c r="E4" s="11" t="n">
        <v>0.8609</v>
      </c>
      <c r="F4" s="11" t="n">
        <v>0.1592</v>
      </c>
      <c r="G4" s="11" t="n">
        <v>0.7961</v>
      </c>
      <c r="H4" s="12" t="n">
        <v>14.8095</v>
      </c>
      <c r="I4" s="12" t="n">
        <v>5.0833</v>
      </c>
      <c r="J4" s="13" t="n">
        <v>6</v>
      </c>
      <c r="K4" s="13" t="n">
        <v>45</v>
      </c>
    </row>
    <row r="5">
      <c r="A5" s="10" t="inlineStr">
        <is>
          <t>Track00004</t>
        </is>
      </c>
      <c r="B5" s="11" t="n">
        <v>0.1394</v>
      </c>
      <c r="C5" s="11" t="n">
        <v>0.2558</v>
      </c>
      <c r="D5" s="11" t="n">
        <v>0.5649</v>
      </c>
      <c r="E5" s="11" t="n">
        <v>0.7905</v>
      </c>
      <c r="F5" s="11" t="n">
        <v>0.0153</v>
      </c>
      <c r="G5" s="11" t="n">
        <v>0.9117</v>
      </c>
      <c r="H5" s="12" t="n">
        <v>3.1019</v>
      </c>
      <c r="I5" s="12" t="n">
        <v>2.4074</v>
      </c>
      <c r="J5" s="13" t="n">
        <v>50</v>
      </c>
      <c r="K5" s="13" t="n">
        <v>3</v>
      </c>
    </row>
    <row r="6">
      <c r="A6" s="10" t="inlineStr">
        <is>
          <t>Track00005</t>
        </is>
      </c>
      <c r="B6" s="11" t="n">
        <v>0.2957</v>
      </c>
      <c r="C6" s="11" t="n">
        <v>0.3</v>
      </c>
      <c r="D6" s="11" t="n">
        <v>0.048</v>
      </c>
      <c r="E6" s="11" t="n">
        <v>0.8912</v>
      </c>
      <c r="F6" s="11" t="n">
        <v>0.1109</v>
      </c>
      <c r="G6" s="11" t="n">
        <v>0.7146</v>
      </c>
      <c r="H6" s="12" t="n">
        <v>23.5385</v>
      </c>
      <c r="I6" s="12" t="n">
        <v>3.5604</v>
      </c>
      <c r="J6" s="13" t="n">
        <v>3</v>
      </c>
      <c r="K6" s="13" t="n">
        <v>31</v>
      </c>
    </row>
    <row r="7">
      <c r="A7" s="10" t="inlineStr">
        <is>
          <t>Track00006</t>
        </is>
      </c>
      <c r="B7" s="11" t="n">
        <v>0.4263</v>
      </c>
      <c r="C7" s="11" t="n">
        <v>0.4865</v>
      </c>
      <c r="D7" s="11" t="n">
        <v>0.1885</v>
      </c>
      <c r="E7" s="11" t="n">
        <v>0.9112</v>
      </c>
      <c r="F7" s="11" t="n">
        <v>0.1006</v>
      </c>
      <c r="G7" s="11" t="n">
        <v>0.8218</v>
      </c>
      <c r="H7" s="12" t="n">
        <v>10.0938</v>
      </c>
      <c r="I7" s="12" t="n">
        <v>5.125</v>
      </c>
      <c r="J7" s="13" t="n">
        <v>7</v>
      </c>
      <c r="K7" s="13" t="n">
        <v>1</v>
      </c>
    </row>
    <row r="8">
      <c r="A8" s="10" t="inlineStr">
        <is>
          <t>Track00007</t>
        </is>
      </c>
      <c r="B8" s="11" t="n">
        <v>0.3617</v>
      </c>
      <c r="C8" s="11" t="n">
        <v>0.3616</v>
      </c>
      <c r="D8" s="11" t="n">
        <v>0.5368000000000001</v>
      </c>
      <c r="E8" s="11" t="n">
        <v>0.6581</v>
      </c>
      <c r="F8" s="11" t="n">
        <v>0.1673</v>
      </c>
      <c r="G8" s="11" t="n">
        <v>0.7472</v>
      </c>
      <c r="H8" s="12" t="n">
        <v>19.8068</v>
      </c>
      <c r="I8" s="12" t="n">
        <v>4.2386</v>
      </c>
      <c r="J8" s="13" t="n">
        <v>1</v>
      </c>
      <c r="K8" s="13" t="n">
        <v>18</v>
      </c>
    </row>
    <row r="9">
      <c r="A9" s="10" t="inlineStr">
        <is>
          <t>Track00008</t>
        </is>
      </c>
      <c r="B9" s="11" t="n">
        <v>0.4329</v>
      </c>
      <c r="C9" s="11" t="n">
        <v>0.4478</v>
      </c>
      <c r="D9" s="11" t="n">
        <v>0.1116</v>
      </c>
      <c r="E9" s="11" t="n">
        <v>0.9658</v>
      </c>
      <c r="F9" s="11" t="n">
        <v>0.0429</v>
      </c>
      <c r="G9" s="11" t="n">
        <v>0.7684</v>
      </c>
      <c r="H9" s="12" t="n">
        <v>37.1373</v>
      </c>
      <c r="I9" s="12" t="n">
        <v>8.3529</v>
      </c>
      <c r="J9" s="13" t="n">
        <v>2</v>
      </c>
      <c r="K9" s="13" t="n">
        <v>16</v>
      </c>
    </row>
    <row r="10">
      <c r="A10" s="10" t="inlineStr">
        <is>
          <t>Track00009</t>
        </is>
      </c>
      <c r="B10" s="11" t="n">
        <v>0.1367</v>
      </c>
      <c r="C10" s="11" t="n">
        <v>0.1738</v>
      </c>
      <c r="D10" s="11" t="n">
        <v>0.8001</v>
      </c>
      <c r="E10" s="11" t="n">
        <v>0.3267</v>
      </c>
      <c r="F10" s="11" t="n">
        <v>0.1348</v>
      </c>
      <c r="G10" s="11" t="n">
        <v>0.7856</v>
      </c>
      <c r="H10" s="12" t="n">
        <v>12.875</v>
      </c>
      <c r="I10" s="12" t="n">
        <v>3.25</v>
      </c>
      <c r="J10" s="13" t="n">
        <v>15</v>
      </c>
      <c r="K10" s="13" t="n">
        <v>1</v>
      </c>
    </row>
    <row r="11">
      <c r="A11" s="10" t="inlineStr">
        <is>
          <t>Track00010</t>
        </is>
      </c>
      <c r="B11" s="11" t="n">
        <v>0.3738</v>
      </c>
      <c r="C11" s="11" t="n">
        <v>0.5346</v>
      </c>
      <c r="D11" s="11" t="n">
        <v>0.0015</v>
      </c>
      <c r="E11" s="11" t="n">
        <v>0.959</v>
      </c>
      <c r="F11" s="11" t="n">
        <v>0.0228</v>
      </c>
      <c r="G11" s="11" t="n">
        <v>0.9244</v>
      </c>
      <c r="H11" s="12" t="n">
        <v>5.4865</v>
      </c>
      <c r="I11" s="12" t="n">
        <v>6.1486</v>
      </c>
      <c r="J11" s="13" t="n">
        <v>24</v>
      </c>
      <c r="K11" s="13" t="n">
        <v>14</v>
      </c>
    </row>
    <row r="12">
      <c r="A12" s="10" t="inlineStr">
        <is>
          <t>Track00011</t>
        </is>
      </c>
      <c r="B12" s="11" t="n">
        <v>0.3005</v>
      </c>
      <c r="C12" s="11" t="n">
        <v>0.3242</v>
      </c>
      <c r="D12" s="11" t="n">
        <v>0.06510000000000001</v>
      </c>
      <c r="E12" s="11" t="n">
        <v>0.8126</v>
      </c>
      <c r="F12" s="11" t="n">
        <v>0.1546</v>
      </c>
      <c r="G12" s="11" t="n">
        <v>0.8766</v>
      </c>
      <c r="H12" s="12" t="n">
        <v>7.3846</v>
      </c>
      <c r="I12" s="12" t="n">
        <v>4.859</v>
      </c>
      <c r="J12" s="13" t="n">
        <v>2</v>
      </c>
      <c r="K12" s="13" t="n">
        <v>26</v>
      </c>
    </row>
    <row r="13">
      <c r="A13" s="10" t="inlineStr">
        <is>
          <t>Track00012</t>
        </is>
      </c>
      <c r="B13" s="11" t="n">
        <v>0.334</v>
      </c>
      <c r="C13" s="11" t="n">
        <v>0.3769</v>
      </c>
      <c r="D13" s="11" t="n">
        <v>0.4182</v>
      </c>
      <c r="E13" s="11" t="n">
        <v>0.7223000000000001</v>
      </c>
      <c r="F13" s="11" t="n">
        <v>0.0201</v>
      </c>
      <c r="G13" s="11" t="n">
        <v>0.8337</v>
      </c>
      <c r="H13" s="12" t="n">
        <v>14.6778</v>
      </c>
      <c r="I13" s="12" t="n">
        <v>2.7222</v>
      </c>
      <c r="J13" s="13" t="n">
        <v>11</v>
      </c>
      <c r="K13" s="13" t="n">
        <v>15</v>
      </c>
    </row>
    <row r="14">
      <c r="A14" s="10" t="inlineStr">
        <is>
          <t>Track00013</t>
        </is>
      </c>
      <c r="B14" s="11" t="n">
        <v>0.1042</v>
      </c>
      <c r="C14" s="11" t="n">
        <v>0.1338</v>
      </c>
      <c r="D14" s="11" t="n">
        <v>0.1838</v>
      </c>
      <c r="E14" s="11" t="n">
        <v>0.5862000000000001</v>
      </c>
      <c r="F14" s="11" t="n">
        <v>0.0645</v>
      </c>
      <c r="G14" s="11" t="n">
        <v>0.8576</v>
      </c>
      <c r="H14" s="12" t="n">
        <v>10.1019</v>
      </c>
      <c r="I14" s="12" t="n">
        <v>3.1481</v>
      </c>
      <c r="J14" s="13" t="n">
        <v>34</v>
      </c>
      <c r="K14" s="13" t="n">
        <v>6</v>
      </c>
    </row>
    <row r="15">
      <c r="A15" s="10" t="inlineStr">
        <is>
          <t>Track00014</t>
        </is>
      </c>
      <c r="B15" s="11" t="n">
        <v>0.3311</v>
      </c>
      <c r="C15" s="11" t="n">
        <v>0.3478</v>
      </c>
      <c r="D15" s="11" t="n">
        <v>0.0482</v>
      </c>
      <c r="E15" s="11" t="n">
        <v>0.9433</v>
      </c>
      <c r="F15" s="11" t="n">
        <v>0.08740000000000001</v>
      </c>
      <c r="G15" s="11" t="n">
        <v>0.8342000000000001</v>
      </c>
      <c r="H15" s="12" t="n">
        <v>11.2551</v>
      </c>
      <c r="I15" s="12" t="n">
        <v>3.5</v>
      </c>
      <c r="J15" s="13" t="n">
        <v>1</v>
      </c>
      <c r="K15" s="13" t="n">
        <v>21</v>
      </c>
    </row>
    <row r="16">
      <c r="A16" s="10" t="inlineStr">
        <is>
          <t>Track00015</t>
        </is>
      </c>
      <c r="B16" s="11" t="n">
        <v>0.4468</v>
      </c>
      <c r="C16" s="11" t="n">
        <v>0.4694</v>
      </c>
      <c r="D16" s="11" t="n">
        <v>0.0235</v>
      </c>
      <c r="E16" s="11" t="n">
        <v>0.7363</v>
      </c>
      <c r="F16" s="11" t="n">
        <v>0.1825</v>
      </c>
      <c r="G16" s="11" t="n">
        <v>0.6979</v>
      </c>
      <c r="H16" s="12" t="n">
        <v>16.913</v>
      </c>
      <c r="I16" s="12" t="n">
        <v>5.6087</v>
      </c>
      <c r="J16" s="13" t="n">
        <v>4</v>
      </c>
      <c r="K16" s="13" t="n">
        <v>6</v>
      </c>
    </row>
    <row r="17">
      <c r="A17" s="10" t="inlineStr">
        <is>
          <t>Track00016</t>
        </is>
      </c>
      <c r="B17" s="11" t="n">
        <v>0.354</v>
      </c>
      <c r="C17" s="11" t="n">
        <v>0.3878</v>
      </c>
      <c r="D17" s="11" t="n">
        <v>0.2041</v>
      </c>
      <c r="E17" s="11" t="n">
        <v>0.8313</v>
      </c>
      <c r="F17" s="11" t="n">
        <v>0.0279</v>
      </c>
      <c r="G17" s="11" t="n">
        <v>0.8849</v>
      </c>
      <c r="H17" s="12" t="n">
        <v>10.0588</v>
      </c>
      <c r="I17" s="12" t="n">
        <v>4.2941</v>
      </c>
      <c r="J17" s="13" t="n">
        <v>13</v>
      </c>
      <c r="K17" s="13" t="n">
        <v>18</v>
      </c>
    </row>
    <row r="18">
      <c r="A18" s="10" t="inlineStr">
        <is>
          <t>Track00017</t>
        </is>
      </c>
      <c r="B18" s="11" t="n">
        <v>0.063</v>
      </c>
      <c r="C18" s="11" t="n">
        <v>0.2571</v>
      </c>
      <c r="D18" s="11" t="n">
        <v>0.7098</v>
      </c>
      <c r="E18" s="11" t="n">
        <v>0.7478</v>
      </c>
      <c r="F18" s="11" t="n">
        <v>0.0223</v>
      </c>
      <c r="G18" s="11" t="n">
        <v>0.9033</v>
      </c>
      <c r="H18" s="12" t="n">
        <v>2.0696</v>
      </c>
      <c r="I18" s="12" t="n">
        <v>2.4783</v>
      </c>
      <c r="J18" s="13" t="n">
        <v>89</v>
      </c>
      <c r="K18" s="13" t="n">
        <v>10</v>
      </c>
    </row>
    <row r="19">
      <c r="A19" s="10" t="inlineStr">
        <is>
          <t>Track00018</t>
        </is>
      </c>
      <c r="B19" s="11" t="n">
        <v>0.1046</v>
      </c>
      <c r="C19" s="11" t="n">
        <v>0.2536</v>
      </c>
      <c r="D19" s="11" t="n">
        <v>0.1902</v>
      </c>
      <c r="E19" s="11" t="n">
        <v>0.7557</v>
      </c>
      <c r="F19" s="11" t="n">
        <v>0.018</v>
      </c>
      <c r="G19" s="11" t="n">
        <v>0.9719</v>
      </c>
      <c r="H19" s="12" t="n">
        <v>1.9881</v>
      </c>
      <c r="I19" s="12" t="n">
        <v>2.9048</v>
      </c>
      <c r="J19" s="13" t="n">
        <v>105</v>
      </c>
      <c r="K19" s="13" t="n">
        <v>32</v>
      </c>
    </row>
    <row r="20">
      <c r="A20" s="10" t="inlineStr">
        <is>
          <t>Track00019</t>
        </is>
      </c>
      <c r="B20" s="11" t="n">
        <v>0.1978</v>
      </c>
      <c r="C20" s="11" t="n">
        <v>0.2682</v>
      </c>
      <c r="D20" s="11" t="n">
        <v>1.4061</v>
      </c>
      <c r="E20" s="11" t="n">
        <v>0.545</v>
      </c>
      <c r="F20" s="11" t="n">
        <v>0.0551</v>
      </c>
      <c r="G20" s="11" t="n">
        <v>0.8899</v>
      </c>
      <c r="H20" s="12" t="n">
        <v>4.0762</v>
      </c>
      <c r="I20" s="12" t="n">
        <v>1.9524</v>
      </c>
      <c r="J20" s="13" t="n">
        <v>30</v>
      </c>
      <c r="K20" s="13" t="n">
        <v>16</v>
      </c>
    </row>
    <row r="21">
      <c r="A21" s="10" t="inlineStr">
        <is>
          <t>Track00020</t>
        </is>
      </c>
      <c r="B21" s="11" t="n">
        <v>0.2443</v>
      </c>
      <c r="C21" s="11" t="n">
        <v>0.2522</v>
      </c>
      <c r="D21" s="11" t="n">
        <v>0.1222</v>
      </c>
      <c r="E21" s="11" t="n">
        <v>0.9615</v>
      </c>
      <c r="F21" s="11" t="n">
        <v>0.0793</v>
      </c>
      <c r="G21" s="11" t="n">
        <v>0.8365</v>
      </c>
      <c r="H21" s="12" t="n">
        <v>9.792</v>
      </c>
      <c r="I21" s="12" t="n">
        <v>3.232</v>
      </c>
      <c r="J21" s="13" t="n">
        <v>4</v>
      </c>
      <c r="K21" s="13" t="n">
        <v>48</v>
      </c>
    </row>
    <row r="22">
      <c r="A22" s="14" t="inlineStr">
        <is>
          <t>평균</t>
        </is>
      </c>
      <c r="B22" s="15">
        <f>AVERAGE(B2:B21)</f>
        <v/>
      </c>
      <c r="C22" s="15">
        <f>AVERAGE(C2:C21)</f>
        <v/>
      </c>
      <c r="D22" s="15">
        <f>AVERAGE(D2:D21)</f>
        <v/>
      </c>
      <c r="E22" s="15">
        <f>AVERAGE(E2:E21)</f>
        <v/>
      </c>
      <c r="F22" s="15">
        <f>AVERAGE(F2:F21)</f>
        <v/>
      </c>
      <c r="G22" s="15">
        <f>AVERAGE(G2:G21)</f>
        <v/>
      </c>
      <c r="H22" s="16">
        <f>AVERAGE(H2:H21)</f>
        <v/>
      </c>
      <c r="I22" s="16">
        <f>AVERAGE(I2:I21)</f>
        <v/>
      </c>
      <c r="J22" s="17">
        <f>AVERAGE(J2:J21)</f>
        <v/>
      </c>
      <c r="K22" s="17">
        <f>AVERAGE(K2:K21)</f>
        <v/>
      </c>
    </row>
    <row r="24">
      <c r="A24" s="18" t="inlineStr">
        <is>
          <t>↑ 높을수록, ↓ 낮을수록 원곡에 가까움. (원)=원래 파트, (생)=MIDI-GPT 생성 파트. 출처: eval_results.csv (eval_generation.py, yellow_medium, BabySlakh 20곡)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2" t="inlineStr">
        <is>
          <t>곡</t>
        </is>
      </c>
      <c r="B1" s="2" t="inlineStr">
        <is>
          <t>CP ↑</t>
        </is>
      </c>
      <c r="C1" s="2" t="inlineStr">
        <is>
          <t>CP활성 ↑</t>
        </is>
      </c>
      <c r="D1" s="2" t="inlineStr">
        <is>
          <t>PCHE차이 ↓</t>
        </is>
      </c>
      <c r="E1" s="2" t="inlineStr">
        <is>
          <t>PCH유사 ↑</t>
        </is>
      </c>
      <c r="F1" s="2" t="inlineStr">
        <is>
          <t>GS차이 ↓</t>
        </is>
      </c>
      <c r="G1" s="2" t="inlineStr">
        <is>
          <t>GS일치 ↑</t>
        </is>
      </c>
      <c r="H1" s="2" t="inlineStr">
        <is>
          <t>마디당 음 (원)</t>
        </is>
      </c>
      <c r="I1" s="2" t="inlineStr">
        <is>
          <t>마디당 음 (생)</t>
        </is>
      </c>
      <c r="J1" s="2" t="inlineStr">
        <is>
          <t>빈 마디 (원)</t>
        </is>
      </c>
      <c r="K1" s="2" t="inlineStr">
        <is>
          <t>빈 마디 (생)</t>
        </is>
      </c>
    </row>
    <row r="2">
      <c r="A2" s="10" t="inlineStr">
        <is>
          <t>Track00001</t>
        </is>
      </c>
      <c r="B2" s="11" t="n">
        <v>0.1466</v>
      </c>
      <c r="C2" s="11" t="n">
        <v>0.1745</v>
      </c>
      <c r="D2" s="11" t="n">
        <v>1.4069</v>
      </c>
      <c r="E2" s="11" t="n">
        <v>0.7038</v>
      </c>
      <c r="F2" s="11" t="n">
        <v>0.1677</v>
      </c>
      <c r="G2" s="11" t="n">
        <v>0.8659</v>
      </c>
      <c r="H2" s="12" t="n">
        <v>5.6456</v>
      </c>
      <c r="I2" s="12" t="n">
        <v>1.9747</v>
      </c>
      <c r="J2" s="13" t="n">
        <v>15</v>
      </c>
      <c r="K2" s="13" t="n">
        <v>0</v>
      </c>
    </row>
    <row r="3">
      <c r="A3" s="10" t="inlineStr">
        <is>
          <t>Track00002</t>
        </is>
      </c>
      <c r="B3" s="11" t="n">
        <v>0.1813</v>
      </c>
      <c r="C3" s="11" t="n">
        <v>0.335</v>
      </c>
      <c r="D3" s="11" t="n">
        <v>1.4172</v>
      </c>
      <c r="E3" s="11" t="n">
        <v>0.6222</v>
      </c>
      <c r="F3" s="11" t="n">
        <v>0.0139</v>
      </c>
      <c r="G3" s="11" t="n">
        <v>0.8404</v>
      </c>
      <c r="H3" s="12" t="n">
        <v>7.7174</v>
      </c>
      <c r="I3" s="12" t="n">
        <v>2.0978</v>
      </c>
      <c r="J3" s="13" t="n">
        <v>30</v>
      </c>
      <c r="K3" s="13" t="n">
        <v>0</v>
      </c>
    </row>
    <row r="4">
      <c r="A4" s="10" t="inlineStr">
        <is>
          <t>Track00003</t>
        </is>
      </c>
      <c r="B4" s="11" t="n">
        <v>0.3145</v>
      </c>
      <c r="C4" s="11" t="n">
        <v>0.3164</v>
      </c>
      <c r="D4" s="11" t="n">
        <v>0.2643</v>
      </c>
      <c r="E4" s="11" t="n">
        <v>0.921</v>
      </c>
      <c r="F4" s="11" t="n">
        <v>0.1688</v>
      </c>
      <c r="G4" s="11" t="n">
        <v>0.6589</v>
      </c>
      <c r="H4" s="12" t="n">
        <v>25.3143</v>
      </c>
      <c r="I4" s="12" t="n">
        <v>3.5048</v>
      </c>
      <c r="J4" s="13" t="n">
        <v>2</v>
      </c>
      <c r="K4" s="13" t="n">
        <v>34</v>
      </c>
    </row>
    <row r="5">
      <c r="A5" s="10" t="inlineStr">
        <is>
          <t>Track00004</t>
        </is>
      </c>
      <c r="B5" s="11" t="n">
        <v>0.0239</v>
      </c>
      <c r="C5" s="11" t="n">
        <v>0.0602</v>
      </c>
      <c r="D5" s="11" t="n">
        <v>1.0686</v>
      </c>
      <c r="E5" s="11" t="n">
        <v>0.2584</v>
      </c>
      <c r="F5" s="11" t="n">
        <v>0.0062</v>
      </c>
      <c r="G5" s="11" t="n">
        <v>0.8776</v>
      </c>
      <c r="H5" s="12" t="n">
        <v>2.1667</v>
      </c>
      <c r="I5" s="12" t="n">
        <v>3.1562</v>
      </c>
      <c r="J5" s="13" t="n">
        <v>59</v>
      </c>
      <c r="K5" s="13" t="n">
        <v>6</v>
      </c>
    </row>
    <row r="6">
      <c r="A6" s="10" t="inlineStr">
        <is>
          <t>Track00005</t>
        </is>
      </c>
      <c r="B6" s="11" t="n">
        <v>0.2505</v>
      </c>
      <c r="C6" s="11" t="n">
        <v>0.262</v>
      </c>
      <c r="D6" s="11" t="n">
        <v>0.2104</v>
      </c>
      <c r="E6" s="11" t="n">
        <v>0.9283</v>
      </c>
      <c r="F6" s="11" t="n">
        <v>0.1653</v>
      </c>
      <c r="G6" s="11" t="n">
        <v>0.7447</v>
      </c>
      <c r="H6" s="12" t="n">
        <v>22.6145</v>
      </c>
      <c r="I6" s="12" t="n">
        <v>4.5181</v>
      </c>
      <c r="J6" s="13" t="n">
        <v>4</v>
      </c>
      <c r="K6" s="13" t="n">
        <v>40</v>
      </c>
    </row>
    <row r="7">
      <c r="A7" s="10" t="inlineStr">
        <is>
          <t>Track00006</t>
        </is>
      </c>
      <c r="B7" s="11" t="n">
        <v>0.1382</v>
      </c>
      <c r="C7" s="11" t="n">
        <v>0.2895</v>
      </c>
      <c r="D7" s="11" t="n">
        <v>0.7842</v>
      </c>
      <c r="E7" s="11" t="n">
        <v>0.7025</v>
      </c>
      <c r="F7" s="11" t="n">
        <v>0.1343</v>
      </c>
      <c r="G7" s="11" t="n">
        <v>0.835</v>
      </c>
      <c r="H7" s="12" t="n">
        <v>5.4375</v>
      </c>
      <c r="I7" s="12" t="n">
        <v>4.3438</v>
      </c>
      <c r="J7" s="13" t="n">
        <v>28</v>
      </c>
      <c r="K7" s="13" t="n">
        <v>2</v>
      </c>
    </row>
    <row r="8">
      <c r="A8" s="10" t="inlineStr">
        <is>
          <t>Track00007</t>
        </is>
      </c>
      <c r="B8" s="11" t="n">
        <v>0.3729</v>
      </c>
      <c r="C8" s="11" t="n">
        <v>0.3707</v>
      </c>
      <c r="D8" s="11" t="n">
        <v>0.3534</v>
      </c>
      <c r="E8" s="11" t="n">
        <v>0.9093</v>
      </c>
      <c r="F8" s="11" t="n">
        <v>0.0975</v>
      </c>
      <c r="G8" s="11" t="n">
        <v>0.7858000000000001</v>
      </c>
      <c r="H8" s="12" t="n">
        <v>10.7108</v>
      </c>
      <c r="I8" s="12" t="n">
        <v>4.506</v>
      </c>
      <c r="J8" s="13" t="n">
        <v>1</v>
      </c>
      <c r="K8" s="13" t="n">
        <v>23</v>
      </c>
    </row>
    <row r="9">
      <c r="A9" s="10" t="inlineStr">
        <is>
          <t>Track00008</t>
        </is>
      </c>
      <c r="B9" s="11" t="n">
        <v>0.3801</v>
      </c>
      <c r="C9" s="11" t="n">
        <v>0.4069</v>
      </c>
      <c r="D9" s="11" t="n">
        <v>0.1447</v>
      </c>
      <c r="E9" s="11" t="n">
        <v>0.9721</v>
      </c>
      <c r="F9" s="11" t="n">
        <v>0.0736</v>
      </c>
      <c r="G9" s="11" t="n">
        <v>0.8798</v>
      </c>
      <c r="H9" s="12" t="n">
        <v>8.694900000000001</v>
      </c>
      <c r="I9" s="12" t="n">
        <v>4.8305</v>
      </c>
      <c r="J9" s="13" t="n">
        <v>2</v>
      </c>
      <c r="K9" s="13" t="n">
        <v>21</v>
      </c>
    </row>
    <row r="10">
      <c r="A10" s="10" t="inlineStr">
        <is>
          <t>Track00009</t>
        </is>
      </c>
      <c r="B10" s="11" t="n">
        <v>0.0849</v>
      </c>
      <c r="C10" s="11" t="n">
        <v>0.4894</v>
      </c>
      <c r="D10" s="11" t="n">
        <v>0.014</v>
      </c>
      <c r="E10" s="11" t="n">
        <v>0.9395</v>
      </c>
      <c r="F10" s="11" t="n">
        <v>0.014</v>
      </c>
      <c r="G10" s="11" t="n">
        <v>0.8722</v>
      </c>
      <c r="H10" s="12" t="n">
        <v>5</v>
      </c>
      <c r="I10" s="12" t="n">
        <v>2.9487</v>
      </c>
      <c r="J10" s="13" t="n">
        <v>64</v>
      </c>
      <c r="K10" s="13" t="n">
        <v>5</v>
      </c>
    </row>
    <row r="11">
      <c r="A11" s="10" t="inlineStr">
        <is>
          <t>Track00010</t>
        </is>
      </c>
      <c r="B11" s="11" t="n">
        <v>0.4729</v>
      </c>
      <c r="C11" s="11" t="n">
        <v>0.4796</v>
      </c>
      <c r="D11" s="11" t="n">
        <v>0.4097</v>
      </c>
      <c r="E11" s="11" t="n">
        <v>0.8102</v>
      </c>
      <c r="F11" s="11" t="n">
        <v>0.0538</v>
      </c>
      <c r="G11" s="11" t="n">
        <v>0.8575</v>
      </c>
      <c r="H11" s="12" t="n">
        <v>18.2059</v>
      </c>
      <c r="I11" s="12" t="n">
        <v>5.8676</v>
      </c>
      <c r="J11" s="13" t="n">
        <v>1</v>
      </c>
      <c r="K11" s="13" t="n">
        <v>9</v>
      </c>
    </row>
    <row r="12">
      <c r="A12" s="10" t="inlineStr">
        <is>
          <t>Track00011</t>
        </is>
      </c>
      <c r="B12" s="11" t="n">
        <v>0.4597</v>
      </c>
      <c r="C12" s="11" t="n">
        <v>0.4708</v>
      </c>
      <c r="D12" s="11" t="n">
        <v>0.0581</v>
      </c>
      <c r="E12" s="11" t="n">
        <v>0.9854000000000001</v>
      </c>
      <c r="F12" s="11" t="n">
        <v>0.0142</v>
      </c>
      <c r="G12" s="11" t="n">
        <v>0.5593</v>
      </c>
      <c r="H12" s="12" t="n">
        <v>53</v>
      </c>
      <c r="I12" s="12" t="n">
        <v>6.1139</v>
      </c>
      <c r="J12" s="13" t="n">
        <v>1</v>
      </c>
      <c r="K12" s="13" t="n">
        <v>25</v>
      </c>
    </row>
    <row r="13">
      <c r="A13" s="10" t="inlineStr">
        <is>
          <t>Track00012</t>
        </is>
      </c>
      <c r="B13" s="11" t="n">
        <v>0.0226</v>
      </c>
      <c r="C13" s="11" t="n">
        <v>0.0287</v>
      </c>
      <c r="D13" s="11" t="n">
        <v>1.6689</v>
      </c>
      <c r="E13" s="11" t="n">
        <v>0.0337</v>
      </c>
      <c r="F13" s="11" t="n">
        <v>0.0376</v>
      </c>
      <c r="G13" s="11" t="n">
        <v>0.6756</v>
      </c>
      <c r="H13" s="12" t="n">
        <v>15.7303</v>
      </c>
      <c r="I13" s="12" t="n">
        <v>3.7416</v>
      </c>
      <c r="J13" s="13" t="n">
        <v>19</v>
      </c>
      <c r="K13" s="13" t="n">
        <v>25</v>
      </c>
    </row>
    <row r="14">
      <c r="A14" s="10" t="inlineStr">
        <is>
          <t>Track00013</t>
        </is>
      </c>
      <c r="B14" s="11" t="n">
        <v>0.2889</v>
      </c>
      <c r="C14" s="11" t="n">
        <v>0.3728</v>
      </c>
      <c r="D14" s="11" t="n">
        <v>0.444</v>
      </c>
      <c r="E14" s="11" t="n">
        <v>0.8545</v>
      </c>
      <c r="F14" s="11" t="n">
        <v>0.0499</v>
      </c>
      <c r="G14" s="11" t="n">
        <v>0.7904</v>
      </c>
      <c r="H14" s="12" t="n">
        <v>16</v>
      </c>
      <c r="I14" s="12" t="n">
        <v>5.2361</v>
      </c>
      <c r="J14" s="13" t="n">
        <v>9</v>
      </c>
      <c r="K14" s="13" t="n">
        <v>7</v>
      </c>
    </row>
    <row r="15">
      <c r="A15" s="10" t="inlineStr">
        <is>
          <t>Track00014</t>
        </is>
      </c>
      <c r="B15" s="11" t="n">
        <v>0.2649</v>
      </c>
      <c r="C15" s="11" t="n">
        <v>0.2811</v>
      </c>
      <c r="D15" s="11" t="n">
        <v>0.0232</v>
      </c>
      <c r="E15" s="11" t="n">
        <v>0.9023</v>
      </c>
      <c r="F15" s="11" t="n">
        <v>0.0134</v>
      </c>
      <c r="G15" s="11" t="n">
        <v>0.8324</v>
      </c>
      <c r="H15" s="12" t="n">
        <v>9.3925</v>
      </c>
      <c r="I15" s="12" t="n">
        <v>3.7009</v>
      </c>
      <c r="J15" s="13" t="n">
        <v>5</v>
      </c>
      <c r="K15" s="13" t="n">
        <v>39</v>
      </c>
    </row>
    <row r="16">
      <c r="A16" s="10" t="inlineStr">
        <is>
          <t>Track00015</t>
        </is>
      </c>
      <c r="B16" s="11" t="n">
        <v>0.0385</v>
      </c>
      <c r="C16" s="11" t="n">
        <v>0.3103</v>
      </c>
      <c r="D16" s="11" t="n">
        <v>0.8243</v>
      </c>
      <c r="E16" s="11" t="n">
        <v>0.6836</v>
      </c>
      <c r="F16" s="11" t="n">
        <v>0.0463</v>
      </c>
      <c r="G16" s="11" t="n">
        <v>0.8993</v>
      </c>
      <c r="H16" s="12" t="n">
        <v>0.9258999999999999</v>
      </c>
      <c r="I16" s="12" t="n">
        <v>3.1481</v>
      </c>
      <c r="J16" s="13" t="n">
        <v>46</v>
      </c>
      <c r="K16" s="13" t="n">
        <v>10</v>
      </c>
    </row>
    <row r="17">
      <c r="A17" s="10" t="inlineStr">
        <is>
          <t>Track00016</t>
        </is>
      </c>
      <c r="B17" s="11" t="n">
        <v>0.1752</v>
      </c>
      <c r="C17" s="11" t="n">
        <v>0.2183</v>
      </c>
      <c r="D17" s="11" t="n">
        <v>1.6814</v>
      </c>
      <c r="E17" s="11" t="n">
        <v>0.4312</v>
      </c>
      <c r="F17" s="11" t="n">
        <v>0.1424</v>
      </c>
      <c r="G17" s="11" t="n">
        <v>0.8110000000000001</v>
      </c>
      <c r="H17" s="12" t="n">
        <v>8.2593</v>
      </c>
      <c r="I17" s="12" t="n">
        <v>2.6914</v>
      </c>
      <c r="J17" s="13" t="n">
        <v>15</v>
      </c>
      <c r="K17" s="13" t="n">
        <v>5</v>
      </c>
    </row>
    <row r="18">
      <c r="A18" s="10" t="inlineStr">
        <is>
          <t>Track00017</t>
        </is>
      </c>
      <c r="B18" s="11" t="n">
        <v>0.2418</v>
      </c>
      <c r="C18" s="11" t="n">
        <v>0.3216</v>
      </c>
      <c r="D18" s="11" t="n">
        <v>0.0611</v>
      </c>
      <c r="E18" s="11" t="n">
        <v>0.7135</v>
      </c>
      <c r="F18" s="11" t="n">
        <v>0.1887</v>
      </c>
      <c r="G18" s="11" t="n">
        <v>0.727</v>
      </c>
      <c r="H18" s="12" t="n">
        <v>10.4216</v>
      </c>
      <c r="I18" s="12" t="n">
        <v>3.5</v>
      </c>
      <c r="J18" s="13" t="n">
        <v>23</v>
      </c>
      <c r="K18" s="13" t="n">
        <v>5</v>
      </c>
    </row>
    <row r="19">
      <c r="A19" s="10" t="inlineStr">
        <is>
          <t>Track00018</t>
        </is>
      </c>
      <c r="B19" s="11" t="n">
        <v>0.0251</v>
      </c>
      <c r="C19" s="11" t="n">
        <v>0.0455</v>
      </c>
      <c r="D19" s="11" t="n">
        <v>0.5084</v>
      </c>
      <c r="E19" s="11" t="n">
        <v>0.2928</v>
      </c>
      <c r="F19" s="11" t="n">
        <v>0.0042</v>
      </c>
      <c r="G19" s="11" t="n">
        <v>0.8465</v>
      </c>
      <c r="H19" s="12" t="n">
        <v>8.1418</v>
      </c>
      <c r="I19" s="12" t="n">
        <v>3.5</v>
      </c>
      <c r="J19" s="13" t="n">
        <v>60</v>
      </c>
      <c r="K19" s="13" t="n">
        <v>42</v>
      </c>
    </row>
    <row r="20">
      <c r="A20" s="10" t="inlineStr">
        <is>
          <t>Track00019</t>
        </is>
      </c>
      <c r="B20" s="11" t="n">
        <v>0.227</v>
      </c>
      <c r="C20" s="11" t="n">
        <v>0.3626</v>
      </c>
      <c r="D20" s="11" t="n">
        <v>0.7815</v>
      </c>
      <c r="E20" s="11" t="n">
        <v>0.66</v>
      </c>
      <c r="F20" s="11" t="n">
        <v>0.0391</v>
      </c>
      <c r="G20" s="11" t="n">
        <v>0.9283</v>
      </c>
      <c r="H20" s="12" t="n">
        <v>2.3131</v>
      </c>
      <c r="I20" s="12" t="n">
        <v>3.0101</v>
      </c>
      <c r="J20" s="13" t="n">
        <v>37</v>
      </c>
      <c r="K20" s="13" t="n">
        <v>22</v>
      </c>
    </row>
    <row r="21">
      <c r="A21" s="10" t="inlineStr">
        <is>
          <t>Track00020</t>
        </is>
      </c>
      <c r="B21" s="11" t="n">
        <v>0.168</v>
      </c>
      <c r="C21" s="11" t="n">
        <v>0.2709</v>
      </c>
      <c r="D21" s="11" t="n">
        <v>0.3513</v>
      </c>
      <c r="E21" s="11" t="n">
        <v>0.9112</v>
      </c>
      <c r="F21" s="11" t="n">
        <v>0.0236</v>
      </c>
      <c r="G21" s="11" t="n">
        <v>0.9069</v>
      </c>
      <c r="H21" s="12" t="n">
        <v>2.8</v>
      </c>
      <c r="I21" s="12" t="n">
        <v>2.563</v>
      </c>
      <c r="J21" s="13" t="n">
        <v>15</v>
      </c>
      <c r="K21" s="13" t="n">
        <v>45</v>
      </c>
    </row>
    <row r="22">
      <c r="A22" s="14" t="inlineStr">
        <is>
          <t>평균</t>
        </is>
      </c>
      <c r="B22" s="15">
        <f>AVERAGE(B2:B21)</f>
        <v/>
      </c>
      <c r="C22" s="15">
        <f>AVERAGE(C2:C21)</f>
        <v/>
      </c>
      <c r="D22" s="15">
        <f>AVERAGE(D2:D21)</f>
        <v/>
      </c>
      <c r="E22" s="15">
        <f>AVERAGE(E2:E21)</f>
        <v/>
      </c>
      <c r="F22" s="15">
        <f>AVERAGE(F2:F21)</f>
        <v/>
      </c>
      <c r="G22" s="15">
        <f>AVERAGE(G2:G21)</f>
        <v/>
      </c>
      <c r="H22" s="16">
        <f>AVERAGE(H2:H21)</f>
        <v/>
      </c>
      <c r="I22" s="16">
        <f>AVERAGE(I2:I21)</f>
        <v/>
      </c>
      <c r="J22" s="17">
        <f>AVERAGE(J2:J21)</f>
        <v/>
      </c>
      <c r="K22" s="17">
        <f>AVERAGE(K2:K21)</f>
        <v/>
      </c>
    </row>
    <row r="24">
      <c r="A24" s="18" t="inlineStr">
        <is>
          <t>↑ 높을수록, ↓ 낮을수록 원곡에 가까움. (원)=원래 파트, (생)=MIDI-GPT 생성 파트. 출처: eval_results.csv (eval_generation.py, yellow_medium, BabySlakh 20곡)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2" t="inlineStr">
        <is>
          <t>곡</t>
        </is>
      </c>
      <c r="B1" s="2" t="inlineStr">
        <is>
          <t>CP ↑</t>
        </is>
      </c>
      <c r="C1" s="2" t="inlineStr">
        <is>
          <t>CP활성 ↑</t>
        </is>
      </c>
      <c r="D1" s="2" t="inlineStr">
        <is>
          <t>PCHE차이 ↓</t>
        </is>
      </c>
      <c r="E1" s="2" t="inlineStr">
        <is>
          <t>PCH유사 ↑</t>
        </is>
      </c>
      <c r="F1" s="2" t="inlineStr">
        <is>
          <t>GS차이 ↓</t>
        </is>
      </c>
      <c r="G1" s="2" t="inlineStr">
        <is>
          <t>GS일치 ↑</t>
        </is>
      </c>
      <c r="H1" s="2" t="inlineStr">
        <is>
          <t>마디당 음 (원)</t>
        </is>
      </c>
      <c r="I1" s="2" t="inlineStr">
        <is>
          <t>마디당 음 (생)</t>
        </is>
      </c>
      <c r="J1" s="2" t="inlineStr">
        <is>
          <t>빈 마디 (원)</t>
        </is>
      </c>
      <c r="K1" s="2" t="inlineStr">
        <is>
          <t>빈 마디 (생)</t>
        </is>
      </c>
    </row>
    <row r="2">
      <c r="A2" s="10" t="inlineStr">
        <is>
          <t>Track00001</t>
        </is>
      </c>
      <c r="B2" s="11" t="n">
        <v>0.5620000000000001</v>
      </c>
      <c r="C2" s="11" t="n">
        <v>0.5790999999999999</v>
      </c>
      <c r="D2" s="11" t="n">
        <v>0.015</v>
      </c>
      <c r="E2" s="11" t="n">
        <v>0.925</v>
      </c>
      <c r="F2" s="11" t="n">
        <v>0.0593</v>
      </c>
      <c r="G2" s="11" t="n">
        <v>0.8762</v>
      </c>
      <c r="H2" s="12" t="n">
        <v>4.5696</v>
      </c>
      <c r="I2" s="12" t="n">
        <v>3.7722</v>
      </c>
      <c r="J2" s="13" t="n">
        <v>2</v>
      </c>
      <c r="K2" s="13" t="n">
        <v>0</v>
      </c>
    </row>
    <row r="3">
      <c r="A3" s="10" t="inlineStr">
        <is>
          <t>Track00002</t>
        </is>
      </c>
      <c r="B3" s="11" t="n">
        <v>0.2244</v>
      </c>
      <c r="C3" s="11" t="n">
        <v>0.2455</v>
      </c>
      <c r="D3" s="11" t="n">
        <v>1.9038</v>
      </c>
      <c r="E3" s="11" t="n">
        <v>0.5814</v>
      </c>
      <c r="F3" s="11" t="n">
        <v>0.0228</v>
      </c>
      <c r="G3" s="11" t="n">
        <v>0.8692</v>
      </c>
      <c r="H3" s="12" t="n">
        <v>2.6196</v>
      </c>
      <c r="I3" s="12" t="n">
        <v>3.4891</v>
      </c>
      <c r="J3" s="13" t="n">
        <v>4</v>
      </c>
      <c r="K3" s="13" t="n">
        <v>8</v>
      </c>
    </row>
    <row r="4">
      <c r="A4" s="10" t="inlineStr">
        <is>
          <t>Track00003</t>
        </is>
      </c>
      <c r="B4" s="11" t="n">
        <v>0.1684</v>
      </c>
      <c r="C4" s="11" t="n">
        <v>0.1676</v>
      </c>
      <c r="D4" s="11" t="n">
        <v>0.1175</v>
      </c>
      <c r="E4" s="11" t="n">
        <v>0.9771</v>
      </c>
      <c r="F4" s="11" t="n">
        <v>0.1025</v>
      </c>
      <c r="G4" s="11" t="n">
        <v>0.8270999999999999</v>
      </c>
      <c r="H4" s="12" t="n">
        <v>4.534</v>
      </c>
      <c r="I4" s="12" t="n">
        <v>3.3689</v>
      </c>
      <c r="J4" s="13" t="n">
        <v>2</v>
      </c>
      <c r="K4" s="13" t="n">
        <v>31</v>
      </c>
    </row>
    <row r="5">
      <c r="A5" s="10" t="inlineStr">
        <is>
          <t>Track00004</t>
        </is>
      </c>
      <c r="B5" s="11" t="n">
        <v>0.1934</v>
      </c>
      <c r="C5" s="11" t="n">
        <v>0.2146</v>
      </c>
      <c r="D5" s="11" t="n">
        <v>0.1147</v>
      </c>
      <c r="E5" s="11" t="n">
        <v>0.8498</v>
      </c>
      <c r="F5" s="11" t="n">
        <v>0.0177</v>
      </c>
      <c r="G5" s="11" t="n">
        <v>0.8825</v>
      </c>
      <c r="H5" s="12" t="n">
        <v>2.3704</v>
      </c>
      <c r="I5" s="12" t="n">
        <v>2.3148</v>
      </c>
      <c r="J5" s="13" t="n">
        <v>5</v>
      </c>
      <c r="K5" s="13" t="n">
        <v>6</v>
      </c>
    </row>
    <row r="6">
      <c r="A6" s="10" t="inlineStr">
        <is>
          <t>Track00005</t>
        </is>
      </c>
      <c r="B6" s="11" t="n">
        <v>0.2227</v>
      </c>
      <c r="C6" s="11" t="n">
        <v>0.2442</v>
      </c>
      <c r="D6" s="11" t="n">
        <v>0.09959999999999999</v>
      </c>
      <c r="E6" s="11" t="n">
        <v>0.9393</v>
      </c>
      <c r="F6" s="11" t="n">
        <v>0.1544</v>
      </c>
      <c r="G6" s="11" t="n">
        <v>0.8278</v>
      </c>
      <c r="H6" s="12" t="n">
        <v>4.4608</v>
      </c>
      <c r="I6" s="12" t="n">
        <v>1.8333</v>
      </c>
      <c r="J6" s="13" t="n">
        <v>7</v>
      </c>
      <c r="K6" s="13" t="n">
        <v>24</v>
      </c>
    </row>
    <row r="7">
      <c r="A7" s="10" t="inlineStr">
        <is>
          <t>Track00006</t>
        </is>
      </c>
      <c r="B7" s="11" t="n">
        <v>0.1602</v>
      </c>
      <c r="C7" s="11" t="n">
        <v>0.1745</v>
      </c>
      <c r="D7" s="11" t="n">
        <v>0.6331</v>
      </c>
      <c r="E7" s="11" t="n">
        <v>0.4375</v>
      </c>
      <c r="F7" s="11" t="n">
        <v>0.2109</v>
      </c>
      <c r="G7" s="11" t="n">
        <v>0.8013</v>
      </c>
      <c r="H7" s="12" t="n">
        <v>5.7812</v>
      </c>
      <c r="I7" s="12" t="n">
        <v>2.7188</v>
      </c>
      <c r="J7" s="13" t="n">
        <v>5</v>
      </c>
      <c r="K7" s="13" t="n">
        <v>4</v>
      </c>
    </row>
    <row r="8">
      <c r="A8" s="10" t="inlineStr">
        <is>
          <t>Track00007</t>
        </is>
      </c>
      <c r="B8" s="11" t="n">
        <v>0.3092</v>
      </c>
      <c r="C8" s="11" t="n">
        <v>0.3376</v>
      </c>
      <c r="D8" s="11" t="n">
        <v>0.1116</v>
      </c>
      <c r="E8" s="11" t="n">
        <v>0.8754999999999999</v>
      </c>
      <c r="F8" s="11" t="n">
        <v>0.0804</v>
      </c>
      <c r="G8" s="11" t="n">
        <v>0.8743</v>
      </c>
      <c r="H8" s="12" t="n">
        <v>4.2247</v>
      </c>
      <c r="I8" s="12" t="n">
        <v>3.0337</v>
      </c>
      <c r="J8" s="13" t="n">
        <v>13</v>
      </c>
      <c r="K8" s="13" t="n">
        <v>11</v>
      </c>
    </row>
    <row r="9">
      <c r="A9" s="10" t="inlineStr">
        <is>
          <t>Track00008</t>
        </is>
      </c>
      <c r="B9" s="11" t="n">
        <v>0.4482</v>
      </c>
      <c r="C9" s="11" t="n">
        <v>0.4584</v>
      </c>
      <c r="D9" s="11" t="n">
        <v>0.2019</v>
      </c>
      <c r="E9" s="11" t="n">
        <v>0.9095</v>
      </c>
      <c r="F9" s="11" t="n">
        <v>0.0367</v>
      </c>
      <c r="G9" s="11" t="n">
        <v>0.9330000000000001</v>
      </c>
      <c r="H9" s="12" t="n">
        <v>3.1594</v>
      </c>
      <c r="I9" s="12" t="n">
        <v>2.5797</v>
      </c>
      <c r="J9" s="13" t="n">
        <v>2</v>
      </c>
      <c r="K9" s="13" t="n">
        <v>2</v>
      </c>
    </row>
    <row r="10">
      <c r="A10" s="10" t="inlineStr">
        <is>
          <t>Track00009</t>
        </is>
      </c>
      <c r="B10" s="11" t="n">
        <v>0.2199</v>
      </c>
      <c r="C10" s="11" t="n">
        <v>0.366</v>
      </c>
      <c r="D10" s="11" t="n">
        <v>0.0017</v>
      </c>
      <c r="E10" s="11" t="n">
        <v>0.979</v>
      </c>
      <c r="F10" s="11" t="n">
        <v>0.0357</v>
      </c>
      <c r="G10" s="11" t="n">
        <v>0.8257</v>
      </c>
      <c r="H10" s="12" t="n">
        <v>3.359</v>
      </c>
      <c r="I10" s="12" t="n">
        <v>3.1667</v>
      </c>
      <c r="J10" s="13" t="n">
        <v>28</v>
      </c>
      <c r="K10" s="13" t="n">
        <v>3</v>
      </c>
    </row>
    <row r="11">
      <c r="A11" s="10" t="inlineStr">
        <is>
          <t>Track00010</t>
        </is>
      </c>
      <c r="B11" s="11" t="n">
        <v>0.5386</v>
      </c>
      <c r="C11" s="11" t="n">
        <v>0.5477</v>
      </c>
      <c r="D11" s="11" t="n">
        <v>0.2093</v>
      </c>
      <c r="E11" s="11" t="n">
        <v>0.9312</v>
      </c>
      <c r="F11" s="11" t="n">
        <v>0.0113</v>
      </c>
      <c r="G11" s="11" t="n">
        <v>0.915</v>
      </c>
      <c r="H11" s="12" t="n">
        <v>3.8533</v>
      </c>
      <c r="I11" s="12" t="n">
        <v>4.1733</v>
      </c>
      <c r="J11" s="13" t="n">
        <v>2</v>
      </c>
      <c r="K11" s="13" t="n">
        <v>2</v>
      </c>
    </row>
    <row r="12">
      <c r="A12" s="10" t="inlineStr">
        <is>
          <t>Track00011</t>
        </is>
      </c>
      <c r="B12" s="11" t="n">
        <v>0.4519</v>
      </c>
      <c r="C12" s="11" t="n">
        <v>0.4594</v>
      </c>
      <c r="D12" s="11" t="n">
        <v>0.4668</v>
      </c>
      <c r="E12" s="11" t="n">
        <v>0.9902</v>
      </c>
      <c r="F12" s="11" t="n">
        <v>0.0464</v>
      </c>
      <c r="G12" s="11" t="n">
        <v>0.8547</v>
      </c>
      <c r="H12" s="12" t="n">
        <v>5.2088</v>
      </c>
      <c r="I12" s="12" t="n">
        <v>2.7253</v>
      </c>
      <c r="J12" s="13" t="n">
        <v>2</v>
      </c>
      <c r="K12" s="13" t="n">
        <v>18</v>
      </c>
    </row>
    <row r="13">
      <c r="A13" s="10" t="inlineStr">
        <is>
          <t>Track00012</t>
        </is>
      </c>
      <c r="B13" s="11" t="n">
        <v>0.443</v>
      </c>
      <c r="C13" s="11" t="n">
        <v>0.4556</v>
      </c>
      <c r="D13" s="11" t="n">
        <v>0.07099999999999999</v>
      </c>
      <c r="E13" s="11" t="n">
        <v>0.7635</v>
      </c>
      <c r="F13" s="11" t="n">
        <v>0.0562</v>
      </c>
      <c r="G13" s="11" t="n">
        <v>0.7886</v>
      </c>
      <c r="H13" s="12" t="n">
        <v>9.280900000000001</v>
      </c>
      <c r="I13" s="12" t="n">
        <v>3.0562</v>
      </c>
      <c r="J13" s="13" t="n">
        <v>3</v>
      </c>
      <c r="K13" s="13" t="n">
        <v>16</v>
      </c>
    </row>
    <row r="14">
      <c r="A14" s="10" t="inlineStr">
        <is>
          <t>Track00013</t>
        </is>
      </c>
      <c r="B14" s="11" t="n">
        <v>0.2051</v>
      </c>
      <c r="C14" s="11" t="n">
        <v>0.2299</v>
      </c>
      <c r="D14" s="11" t="n">
        <v>0.6793</v>
      </c>
      <c r="E14" s="11" t="n">
        <v>0.5082</v>
      </c>
      <c r="F14" s="11" t="n">
        <v>0.0574</v>
      </c>
      <c r="G14" s="11" t="n">
        <v>0.8149999999999999</v>
      </c>
      <c r="H14" s="12" t="n">
        <v>9.2424</v>
      </c>
      <c r="I14" s="12" t="n">
        <v>4.0909</v>
      </c>
      <c r="J14" s="13" t="n">
        <v>2</v>
      </c>
      <c r="K14" s="13" t="n">
        <v>13</v>
      </c>
    </row>
    <row r="15">
      <c r="A15" s="10" t="inlineStr">
        <is>
          <t>Track00014</t>
        </is>
      </c>
      <c r="B15" s="11" t="n">
        <v>0.1896</v>
      </c>
      <c r="C15" s="11" t="n">
        <v>0.2103</v>
      </c>
      <c r="D15" s="11" t="n">
        <v>0.0987</v>
      </c>
      <c r="E15" s="11" t="n">
        <v>0.9001</v>
      </c>
      <c r="F15" s="11" t="n">
        <v>0.0104</v>
      </c>
      <c r="G15" s="11" t="n">
        <v>0.9276</v>
      </c>
      <c r="H15" s="12" t="n">
        <v>1.8182</v>
      </c>
      <c r="I15" s="12" t="n">
        <v>1.6818</v>
      </c>
      <c r="J15" s="13" t="n">
        <v>10</v>
      </c>
      <c r="K15" s="13" t="n">
        <v>22</v>
      </c>
    </row>
    <row r="16">
      <c r="A16" s="10" t="inlineStr">
        <is>
          <t>Track00015</t>
        </is>
      </c>
      <c r="B16" s="11" t="n">
        <v>0.2466</v>
      </c>
      <c r="C16" s="11" t="n">
        <v>0.2342</v>
      </c>
      <c r="D16" s="11" t="n">
        <v>0.1057</v>
      </c>
      <c r="E16" s="11" t="n">
        <v>0.963</v>
      </c>
      <c r="F16" s="11" t="n">
        <v>0.0368</v>
      </c>
      <c r="G16" s="11" t="n">
        <v>0.824</v>
      </c>
      <c r="H16" s="12" t="n">
        <v>3.7941</v>
      </c>
      <c r="I16" s="12" t="n">
        <v>2.7353</v>
      </c>
      <c r="J16" s="13" t="n">
        <v>3</v>
      </c>
      <c r="K16" s="13" t="n">
        <v>4</v>
      </c>
    </row>
    <row r="17">
      <c r="A17" s="10" t="inlineStr">
        <is>
          <t>Track00016</t>
        </is>
      </c>
      <c r="B17" s="11" t="n">
        <v>0.2192</v>
      </c>
      <c r="C17" s="11" t="n">
        <v>0.2569</v>
      </c>
      <c r="D17" s="11" t="n">
        <v>0.4911</v>
      </c>
      <c r="E17" s="11" t="n">
        <v>0.6343</v>
      </c>
      <c r="F17" s="11" t="n">
        <v>0.0112</v>
      </c>
      <c r="G17" s="11" t="n">
        <v>0.8386</v>
      </c>
      <c r="H17" s="12" t="n">
        <v>5.6269</v>
      </c>
      <c r="I17" s="12" t="n">
        <v>2.7463</v>
      </c>
      <c r="J17" s="13" t="n">
        <v>6</v>
      </c>
      <c r="K17" s="13" t="n">
        <v>3</v>
      </c>
    </row>
    <row r="18">
      <c r="A18" s="19" t="inlineStr">
        <is>
          <t>Track00017</t>
        </is>
      </c>
      <c r="B18" s="20" t="inlineStr">
        <is>
          <t>원곡에 베이스 없음 (비교 불가)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s="10" t="inlineStr">
        <is>
          <t>Track00018</t>
        </is>
      </c>
      <c r="B19" s="11" t="n">
        <v>0.0919</v>
      </c>
      <c r="C19" s="11" t="n">
        <v>0.0999</v>
      </c>
      <c r="D19" s="11" t="n">
        <v>0.8652</v>
      </c>
      <c r="E19" s="11" t="n">
        <v>0.08400000000000001</v>
      </c>
      <c r="F19" s="11" t="n">
        <v>0.0125</v>
      </c>
      <c r="G19" s="11" t="n">
        <v>0.8912</v>
      </c>
      <c r="H19" s="12" t="n">
        <v>3.3684</v>
      </c>
      <c r="I19" s="12" t="n">
        <v>2.4671</v>
      </c>
      <c r="J19" s="13" t="n">
        <v>8</v>
      </c>
      <c r="K19" s="13" t="n">
        <v>35</v>
      </c>
    </row>
    <row r="20">
      <c r="A20" s="10" t="inlineStr">
        <is>
          <t>Track00019</t>
        </is>
      </c>
      <c r="B20" s="11" t="n">
        <v>0.2684</v>
      </c>
      <c r="C20" s="11" t="n">
        <v>0.2861</v>
      </c>
      <c r="D20" s="11" t="n">
        <v>0.1997</v>
      </c>
      <c r="E20" s="11" t="n">
        <v>0.9639</v>
      </c>
      <c r="F20" s="11" t="n">
        <v>0.0112</v>
      </c>
      <c r="G20" s="11" t="n">
        <v>0.7558</v>
      </c>
      <c r="H20" s="12" t="n">
        <v>7.1754</v>
      </c>
      <c r="I20" s="12" t="n">
        <v>1.7368</v>
      </c>
      <c r="J20" s="13" t="n">
        <v>10</v>
      </c>
      <c r="K20" s="13" t="n">
        <v>19</v>
      </c>
    </row>
    <row r="21">
      <c r="A21" s="10" t="inlineStr">
        <is>
          <t>Track00020</t>
        </is>
      </c>
      <c r="B21" s="11" t="n">
        <v>0.2582</v>
      </c>
      <c r="C21" s="11" t="n">
        <v>0.2872</v>
      </c>
      <c r="D21" s="11" t="n">
        <v>0.0561</v>
      </c>
      <c r="E21" s="11" t="n">
        <v>0.9755</v>
      </c>
      <c r="F21" s="11" t="n">
        <v>0.0242</v>
      </c>
      <c r="G21" s="11" t="n">
        <v>0.8949</v>
      </c>
      <c r="H21" s="12" t="n">
        <v>1.9623</v>
      </c>
      <c r="I21" s="12" t="n">
        <v>1.7673</v>
      </c>
      <c r="J21" s="13" t="n">
        <v>4</v>
      </c>
      <c r="K21" s="13" t="n">
        <v>35</v>
      </c>
    </row>
    <row r="22">
      <c r="A22" s="14" t="inlineStr">
        <is>
          <t>평균</t>
        </is>
      </c>
      <c r="B22" s="15">
        <f>AVERAGE(B2:B21)</f>
        <v/>
      </c>
      <c r="C22" s="15">
        <f>AVERAGE(C2:C21)</f>
        <v/>
      </c>
      <c r="D22" s="15">
        <f>AVERAGE(D2:D21)</f>
        <v/>
      </c>
      <c r="E22" s="15">
        <f>AVERAGE(E2:E21)</f>
        <v/>
      </c>
      <c r="F22" s="15">
        <f>AVERAGE(F2:F21)</f>
        <v/>
      </c>
      <c r="G22" s="15">
        <f>AVERAGE(G2:G21)</f>
        <v/>
      </c>
      <c r="H22" s="16">
        <f>AVERAGE(H2:H21)</f>
        <v/>
      </c>
      <c r="I22" s="16">
        <f>AVERAGE(I2:I21)</f>
        <v/>
      </c>
      <c r="J22" s="17">
        <f>AVERAGE(J2:J21)</f>
        <v/>
      </c>
      <c r="K22" s="17">
        <f>AVERAGE(K2:K21)</f>
        <v/>
      </c>
    </row>
    <row r="24">
      <c r="A24" s="18" t="inlineStr">
        <is>
          <t>↑ 높을수록, ↓ 낮을수록 원곡에 가까움. (원)=원래 파트, (생)=MIDI-GPT 생성 파트. 출처: eval_results.csv (eval_generation.py, yellow_medium, BabySlakh 20곡)</t>
        </is>
      </c>
    </row>
  </sheetData>
  <mergeCells count="1">
    <mergeCell ref="B18:K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2" t="inlineStr">
        <is>
          <t>곡</t>
        </is>
      </c>
      <c r="B1" s="2" t="inlineStr">
        <is>
          <t>GS차이 ↓</t>
        </is>
      </c>
      <c r="C1" s="2" t="inlineStr">
        <is>
          <t>GS일치 ↑</t>
        </is>
      </c>
      <c r="D1" s="2" t="inlineStr">
        <is>
          <t>F1</t>
        </is>
      </c>
      <c r="E1" s="2" t="inlineStr">
        <is>
          <t>마디당 음 (원)</t>
        </is>
      </c>
      <c r="F1" s="2" t="inlineStr">
        <is>
          <t>마디당 음 (생)</t>
        </is>
      </c>
      <c r="G1" s="2" t="inlineStr">
        <is>
          <t>빈 마디 (원)</t>
        </is>
      </c>
      <c r="H1" s="2" t="inlineStr">
        <is>
          <t>빈 마디 (생)</t>
        </is>
      </c>
    </row>
    <row r="2">
      <c r="A2" s="10" t="inlineStr">
        <is>
          <t>Track00001</t>
        </is>
      </c>
      <c r="B2" s="11" t="n">
        <v>0.0454</v>
      </c>
      <c r="C2" s="11" t="n">
        <v>0.751</v>
      </c>
      <c r="D2" s="11" t="n">
        <v>0.06469999999999999</v>
      </c>
      <c r="E2" s="12" t="n">
        <v>14.5</v>
      </c>
      <c r="F2" s="12" t="n">
        <v>9.9194</v>
      </c>
      <c r="G2" s="13" t="n">
        <v>1</v>
      </c>
      <c r="H2" s="13" t="n">
        <v>11</v>
      </c>
    </row>
    <row r="3">
      <c r="A3" s="10" t="inlineStr">
        <is>
          <t>Track00002</t>
        </is>
      </c>
      <c r="B3" s="11" t="n">
        <v>0.0018</v>
      </c>
      <c r="C3" s="11" t="n">
        <v>0.8023</v>
      </c>
      <c r="D3" s="11" t="n">
        <v>0.08989999999999999</v>
      </c>
      <c r="E3" s="12" t="n">
        <v>23.3846</v>
      </c>
      <c r="F3" s="12" t="n">
        <v>11.6923</v>
      </c>
      <c r="G3" s="13" t="n">
        <v>2</v>
      </c>
      <c r="H3" s="13" t="n">
        <v>1</v>
      </c>
    </row>
    <row r="4">
      <c r="A4" s="10" t="inlineStr">
        <is>
          <t>Track00003</t>
        </is>
      </c>
      <c r="B4" s="11" t="n">
        <v>0.0559</v>
      </c>
      <c r="C4" s="11" t="n">
        <v>0.7378</v>
      </c>
      <c r="D4" s="11" t="n">
        <v>0.0056</v>
      </c>
      <c r="E4" s="12" t="n">
        <v>13.2778</v>
      </c>
      <c r="F4" s="12" t="n">
        <v>6.7111</v>
      </c>
      <c r="G4" s="13" t="n">
        <v>1</v>
      </c>
      <c r="H4" s="13" t="n">
        <v>37</v>
      </c>
    </row>
    <row r="5">
      <c r="A5" s="10" t="inlineStr">
        <is>
          <t>Track00004</t>
        </is>
      </c>
      <c r="B5" s="11" t="n">
        <v>0.0131</v>
      </c>
      <c r="C5" s="11" t="n">
        <v>0.6795</v>
      </c>
      <c r="D5" s="11" t="n">
        <v>0.0699</v>
      </c>
      <c r="E5" s="12" t="n">
        <v>16.8378</v>
      </c>
      <c r="F5" s="12" t="n">
        <v>8.675700000000001</v>
      </c>
      <c r="G5" s="13" t="n">
        <v>1</v>
      </c>
      <c r="H5" s="13" t="n">
        <v>34</v>
      </c>
    </row>
    <row r="6">
      <c r="A6" s="10" t="inlineStr">
        <is>
          <t>Track00005</t>
        </is>
      </c>
      <c r="B6" s="11" t="n">
        <v>0.127</v>
      </c>
      <c r="C6" s="11" t="n">
        <v>0.5415</v>
      </c>
      <c r="D6" s="11" t="n">
        <v>0.0365</v>
      </c>
      <c r="E6" s="12" t="n">
        <v>19.9494</v>
      </c>
      <c r="F6" s="12" t="n">
        <v>5.6962</v>
      </c>
      <c r="G6" s="13" t="n">
        <v>3</v>
      </c>
      <c r="H6" s="13" t="n">
        <v>40</v>
      </c>
    </row>
    <row r="7">
      <c r="A7" s="10" t="inlineStr">
        <is>
          <t>Track00006</t>
        </is>
      </c>
      <c r="B7" s="11" t="n">
        <v>0.0882</v>
      </c>
      <c r="C7" s="11" t="n">
        <v>0.7528</v>
      </c>
      <c r="D7" s="11" t="n">
        <v>0.1139</v>
      </c>
      <c r="E7" s="12" t="n">
        <v>11.8393</v>
      </c>
      <c r="F7" s="12" t="n">
        <v>10.1071</v>
      </c>
      <c r="G7" s="13" t="n">
        <v>4</v>
      </c>
      <c r="H7" s="13" t="n">
        <v>8</v>
      </c>
    </row>
    <row r="8">
      <c r="A8" s="10" t="inlineStr">
        <is>
          <t>Track00007</t>
        </is>
      </c>
      <c r="B8" s="11" t="n">
        <v>0.0295</v>
      </c>
      <c r="C8" s="11" t="n">
        <v>0.8108</v>
      </c>
      <c r="D8" s="11" t="n">
        <v>0.0451</v>
      </c>
      <c r="E8" s="12" t="n">
        <v>17.1667</v>
      </c>
      <c r="F8" s="12" t="n">
        <v>7.4861</v>
      </c>
      <c r="G8" s="13" t="n">
        <v>1</v>
      </c>
      <c r="H8" s="13" t="n">
        <v>27</v>
      </c>
    </row>
    <row r="9">
      <c r="A9" s="19" t="inlineStr">
        <is>
          <t>Track00008</t>
        </is>
      </c>
      <c r="B9" s="20" t="inlineStr">
        <is>
          <t>생성 실패 (재시도 필요)</t>
        </is>
      </c>
      <c r="C9" s="21" t="n"/>
      <c r="D9" s="21" t="n"/>
      <c r="E9" s="21" t="n"/>
      <c r="F9" s="21" t="n"/>
      <c r="G9" s="21" t="n"/>
      <c r="H9" s="21" t="n"/>
    </row>
    <row r="10">
      <c r="A10" s="10" t="inlineStr">
        <is>
          <t>Track00009</t>
        </is>
      </c>
      <c r="B10" s="11" t="n">
        <v>0.0258</v>
      </c>
      <c r="C10" s="11" t="n">
        <v>0.8026</v>
      </c>
      <c r="D10" s="11" t="n">
        <v>0.0281</v>
      </c>
      <c r="E10" s="12" t="n">
        <v>1.9365</v>
      </c>
      <c r="F10" s="12" t="n">
        <v>9.381</v>
      </c>
      <c r="G10" s="13" t="n">
        <v>20</v>
      </c>
      <c r="H10" s="13" t="n">
        <v>12</v>
      </c>
    </row>
    <row r="11">
      <c r="A11" s="10" t="inlineStr">
        <is>
          <t>Track00010</t>
        </is>
      </c>
      <c r="B11" s="11" t="n">
        <v>0.0016</v>
      </c>
      <c r="C11" s="11" t="n">
        <v>0.7984</v>
      </c>
      <c r="D11" s="11" t="n">
        <v>0.1136</v>
      </c>
      <c r="E11" s="12" t="n">
        <v>19.1833</v>
      </c>
      <c r="F11" s="12" t="n">
        <v>10.15</v>
      </c>
      <c r="G11" s="13" t="n">
        <v>0</v>
      </c>
      <c r="H11" s="13" t="n">
        <v>8</v>
      </c>
    </row>
    <row r="12">
      <c r="A12" s="10" t="inlineStr">
        <is>
          <t>Track00011</t>
        </is>
      </c>
      <c r="B12" s="11" t="n">
        <v>0.0203</v>
      </c>
      <c r="C12" s="11" t="n">
        <v>0.6744</v>
      </c>
      <c r="D12" s="11" t="n">
        <v>0.1581</v>
      </c>
      <c r="E12" s="12" t="n">
        <v>17.9189</v>
      </c>
      <c r="F12" s="12" t="n">
        <v>7.8919</v>
      </c>
      <c r="G12" s="13" t="n">
        <v>2</v>
      </c>
      <c r="H12" s="13" t="n">
        <v>24</v>
      </c>
    </row>
    <row r="13">
      <c r="A13" s="10" t="inlineStr">
        <is>
          <t>Track00012</t>
        </is>
      </c>
      <c r="B13" s="11" t="n">
        <v>0.0086</v>
      </c>
      <c r="C13" s="11" t="n">
        <v>0.5505</v>
      </c>
      <c r="D13" s="11" t="n">
        <v>0.0735</v>
      </c>
      <c r="E13" s="12" t="n">
        <v>27.4932</v>
      </c>
      <c r="F13" s="12" t="n">
        <v>7.9315</v>
      </c>
      <c r="G13" s="13" t="n">
        <v>0</v>
      </c>
      <c r="H13" s="13" t="n">
        <v>38</v>
      </c>
    </row>
    <row r="14">
      <c r="A14" s="10" t="inlineStr">
        <is>
          <t>Track00013</t>
        </is>
      </c>
      <c r="B14" s="11" t="n">
        <v>0.0344</v>
      </c>
      <c r="C14" s="11" t="n">
        <v>0.7173</v>
      </c>
      <c r="D14" s="11" t="n">
        <v>0.0386</v>
      </c>
      <c r="E14" s="12" t="n">
        <v>19.5843</v>
      </c>
      <c r="F14" s="12" t="n">
        <v>9.505599999999999</v>
      </c>
      <c r="G14" s="13" t="n">
        <v>1</v>
      </c>
      <c r="H14" s="13" t="n">
        <v>19</v>
      </c>
    </row>
    <row r="15">
      <c r="A15" s="10" t="inlineStr">
        <is>
          <t>Track00014</t>
        </is>
      </c>
      <c r="B15" s="11" t="n">
        <v>0.0456</v>
      </c>
      <c r="C15" s="11" t="n">
        <v>0.768</v>
      </c>
      <c r="D15" s="11" t="n">
        <v>0.0123</v>
      </c>
      <c r="E15" s="12" t="n">
        <v>13.661</v>
      </c>
      <c r="F15" s="12" t="n">
        <v>8.4068</v>
      </c>
      <c r="G15" s="13" t="n">
        <v>1</v>
      </c>
      <c r="H15" s="13" t="n">
        <v>12</v>
      </c>
    </row>
    <row r="16">
      <c r="A16" s="10" t="inlineStr">
        <is>
          <t>Track00015</t>
        </is>
      </c>
      <c r="B16" s="11" t="n">
        <v>0.0484</v>
      </c>
      <c r="C16" s="11" t="n">
        <v>0.8047</v>
      </c>
      <c r="D16" s="11" t="n">
        <v>0.0593</v>
      </c>
      <c r="E16" s="12" t="n">
        <v>14.3167</v>
      </c>
      <c r="F16" s="12" t="n">
        <v>9.283300000000001</v>
      </c>
      <c r="G16" s="13" t="n">
        <v>3</v>
      </c>
      <c r="H16" s="13" t="n">
        <v>12</v>
      </c>
    </row>
    <row r="17">
      <c r="A17" s="10" t="inlineStr">
        <is>
          <t>Track00016</t>
        </is>
      </c>
      <c r="B17" s="11" t="n">
        <v>0.0142</v>
      </c>
      <c r="C17" s="11" t="n">
        <v>0.6309</v>
      </c>
      <c r="D17" s="11" t="n">
        <v>0.0031</v>
      </c>
      <c r="E17" s="12" t="n">
        <v>29.9531</v>
      </c>
      <c r="F17" s="12" t="n">
        <v>9.828099999999999</v>
      </c>
      <c r="G17" s="13" t="n">
        <v>6</v>
      </c>
      <c r="H17" s="13" t="n">
        <v>21</v>
      </c>
    </row>
    <row r="18">
      <c r="A18" s="10" t="inlineStr">
        <is>
          <t>Track00017</t>
        </is>
      </c>
      <c r="B18" s="11" t="n">
        <v>0.0298</v>
      </c>
      <c r="C18" s="11" t="n">
        <v>0.614</v>
      </c>
      <c r="D18" s="11" t="n">
        <v>0.0939</v>
      </c>
      <c r="E18" s="12" t="n">
        <v>18.3412</v>
      </c>
      <c r="F18" s="12" t="n">
        <v>7.2235</v>
      </c>
      <c r="G18" s="13" t="n">
        <v>3</v>
      </c>
      <c r="H18" s="13" t="n">
        <v>48</v>
      </c>
    </row>
    <row r="19">
      <c r="A19" s="10" t="inlineStr">
        <is>
          <t>Track00018</t>
        </is>
      </c>
      <c r="B19" s="11" t="n">
        <v>0.0036</v>
      </c>
      <c r="C19" s="11" t="n">
        <v>0.9042</v>
      </c>
      <c r="D19" s="11" t="n">
        <v>0.0014</v>
      </c>
      <c r="E19" s="12" t="n">
        <v>3.2893</v>
      </c>
      <c r="F19" s="12" t="n">
        <v>8.140499999999999</v>
      </c>
      <c r="G19" s="13" t="n">
        <v>88</v>
      </c>
      <c r="H19" s="13" t="n">
        <v>49</v>
      </c>
    </row>
    <row r="20">
      <c r="A20" s="10" t="inlineStr">
        <is>
          <t>Track00019</t>
        </is>
      </c>
      <c r="B20" s="11" t="n">
        <v>0.0176</v>
      </c>
      <c r="C20" s="11" t="n">
        <v>0.7812</v>
      </c>
      <c r="D20" s="11" t="n">
        <v>0.0732</v>
      </c>
      <c r="E20" s="12" t="n">
        <v>15.3818</v>
      </c>
      <c r="F20" s="12" t="n">
        <v>10.4545</v>
      </c>
      <c r="G20" s="13" t="n">
        <v>5</v>
      </c>
      <c r="H20" s="13" t="n">
        <v>14</v>
      </c>
    </row>
    <row r="21">
      <c r="A21" s="10" t="inlineStr">
        <is>
          <t>Track00020</t>
        </is>
      </c>
      <c r="B21" s="11" t="n">
        <v>0.0896</v>
      </c>
      <c r="C21" s="11" t="n">
        <v>0.768</v>
      </c>
      <c r="D21" s="11" t="n">
        <v>0.0227</v>
      </c>
      <c r="E21" s="12" t="n">
        <v>8.1716</v>
      </c>
      <c r="F21" s="12" t="n">
        <v>3.6642</v>
      </c>
      <c r="G21" s="13" t="n">
        <v>1</v>
      </c>
      <c r="H21" s="13" t="n">
        <v>36</v>
      </c>
    </row>
    <row r="22">
      <c r="A22" s="14" t="inlineStr">
        <is>
          <t>평균</t>
        </is>
      </c>
      <c r="B22" s="15">
        <f>AVERAGE(B2:B21)</f>
        <v/>
      </c>
      <c r="C22" s="15">
        <f>AVERAGE(C2:C21)</f>
        <v/>
      </c>
      <c r="D22" s="15">
        <f>AVERAGE(D2:D21)</f>
        <v/>
      </c>
      <c r="E22" s="16">
        <f>AVERAGE(E2:E21)</f>
        <v/>
      </c>
      <c r="F22" s="16">
        <f>AVERAGE(F2:F21)</f>
        <v/>
      </c>
      <c r="G22" s="17">
        <f>AVERAGE(G2:G21)</f>
        <v/>
      </c>
      <c r="H22" s="17">
        <f>AVERAGE(H2:H21)</f>
        <v/>
      </c>
    </row>
    <row r="24">
      <c r="A24" s="18" t="inlineStr">
        <is>
          <t>↑ 높을수록, ↓ 낮을수록 원곡에 가까움. (원)=원래 파트, (생)=MIDI-GPT 생성 파트. 출처: eval_results.csv (eval_generation.py, yellow_medium, BabySlakh 20곡)</t>
        </is>
      </c>
    </row>
  </sheetData>
  <mergeCells count="1">
    <mergeCell ref="B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2026-10-03T02:17:07Z</dcterms:created>
  <dcterms:modified xmlns:dcterms="http://purl.org/dc/terms/" xmlns:xsi="http://www.w3.org/2001/XMLSchema-instance" xsi:type="dcterms:W3CDTF">2026-10-03T02:17:07Z</dcterms:modified>
</cp:coreProperties>
</file>